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Тася\OneDrive\Desktop\Университет\3 курс 1 семестр\"/>
    </mc:Choice>
  </mc:AlternateContent>
  <xr:revisionPtr revIDLastSave="0" documentId="13_ncr:1_{BEDD2199-1F6D-46F3-839B-BBFFBA36C23D}" xr6:coauthVersionLast="47" xr6:coauthVersionMax="47" xr10:uidLastSave="{00000000-0000-0000-0000-000000000000}"/>
  <bookViews>
    <workbookView xWindow="-108" yWindow="-108" windowWidth="23256" windowHeight="12456" xr2:uid="{1E9CC405-9255-4A99-9A5D-A9F4E2AE9B8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<sst xmlns="http://schemas.openxmlformats.org/spreadsheetml/2006/main" count="81" uniqueCount="69">
  <si>
    <t>номер бага</t>
  </si>
  <si>
    <t>ID баг-репорта</t>
  </si>
  <si>
    <t>Заголовок</t>
  </si>
  <si>
    <t>Предусловие</t>
  </si>
  <si>
    <t>Шаги</t>
  </si>
  <si>
    <t>ОР</t>
  </si>
  <si>
    <t>Окружение</t>
  </si>
  <si>
    <t>Серьезность</t>
  </si>
  <si>
    <t>Windows 11 Сборка ОС 26200.9457 Yandex Версия
26.8.5.811 https://w140.zona.plus/tvseries/filter/country-ssha</t>
  </si>
  <si>
    <t>ФР</t>
  </si>
  <si>
    <t>Windows 11 Сборка ОС 26200.9457 Yandex Версия 26.8.5.811 https://portal.sutd.ru/company/personal/user/78468/disk/path/</t>
  </si>
  <si>
    <t>Windows 11 Сборка ОС 26200.9457 Yandex Версия 26.8.5.811 https://kino-kach.ru/index/3</t>
  </si>
  <si>
    <t>Iphone 16 ios 27.0 Yandex Версия 2610.0.1738 https://biomolecula.ru/articles/kak-kolibri-poteriali-gen-i-stali-porkhaiushchimi-sladkoezhkami?ysclid=mv24ex3rt4403231197</t>
  </si>
  <si>
    <t>тривиальный</t>
  </si>
  <si>
    <t>Windows 11 Сборка ОС 26200.9457 Yandex Версия 26.8.5.811 https://ezdy.ru/#/moskva/moskva?date=10.10.2026</t>
  </si>
  <si>
    <t>Некорректное отображение уведомления об успешной отправке сообщения в личном кабинете</t>
  </si>
  <si>
    <t>Пользователь авторизован в личном кабинете и имеет возможность отправить сообщение</t>
  </si>
  <si>
    <t>1. Открыть личный кабинет. 2. Перейти к форме отправки сообщения. 3. Заполнить необходимые поля. 4. Отправить сообщение. 5. Проверить наличие уведомления об успешной отправке без перезагрузки страницы.</t>
  </si>
  <si>
    <t>После отправки сообщения в личном кабинете отображается уведомление об успешной отправке без необходимости перезагрузки страницы</t>
  </si>
  <si>
    <t>Уведомление об успешной отправке сообщения не отображается сразу после отправки. Оно появляется только после перезагрузки страницы</t>
  </si>
  <si>
    <t>незначительный</t>
  </si>
  <si>
    <t>некорректное отображение количества непрочитанных сообщений в личном кабинете</t>
  </si>
  <si>
    <t>Пользователь авторизован в личном кабинете. Все входящие сообщения прочитаны.</t>
  </si>
  <si>
    <t>1. Авторизоваться в личном кабинете. 2. Перейти в раздел сообщений. 3. Открыть и прочитать все имеющиеся сообщения. 4. Проверить счетчик непрочитанных сообщений.</t>
  </si>
  <si>
    <t>После прочтения всех сообщений счетчик непрочитанных сообщений должен не отображаться</t>
  </si>
  <si>
    <t>После прочтения всех сообщений счетчик продолжает отображать «2 непрочитанных сообщения», несмотря на отсутствие непрочитанных сообщений</t>
  </si>
  <si>
    <t>Значительный</t>
  </si>
  <si>
    <t>Возможность указания несуществующей даты при регистрации пользователя</t>
  </si>
  <si>
    <t>Пользователь находится на странице регистрации сайта и имеет доступ к полю ввода даты рождения</t>
  </si>
  <si>
    <t>1. Открыть страницу регистрации. 2. Перейти к полю ввода даты рождения. 3. Выбрать или указать месяц «Февраль». 4. Указать день «30» или «31». 5. Проверить возможность выбора и сохранения указанной даты</t>
  </si>
  <si>
    <t>Форма регистрации должна запрещать выбор несуществующих календарных дат. В феврале должны быть доступны только допустимые дни с учетом високосного года.</t>
  </si>
  <si>
    <t>При регистрации пользователь может выбрать дату «30 февраля» или «31 февраля», несмотря на то что такие даты не существуют в календаре</t>
  </si>
  <si>
    <t>Возможность выбора несуществующей даты при регистрации пользователя</t>
  </si>
  <si>
    <t>1. Открыть страницу регистрации. 2. Перейти к полю ввода даты рождения. 3. Выбрать месяц «Июнь». 4. Указать день «31». 5. Проверить возможность выбора указанной даты</t>
  </si>
  <si>
    <t>Форма регистрации должна запрещать выбор несуществующих календарных дат. Для июня последним доступным днем должно быть 30 число</t>
  </si>
  <si>
    <t>При регистрации пользователь может выбрать 31 июня, несмотря на то что такая дата не существует в календаре</t>
  </si>
  <si>
    <t>Некорректная прокрутка страницы статьи на мобильных устройствах</t>
  </si>
  <si>
    <t>Пользователь открывает сайт на мобильном устройстве и переходит на страницу со статьей</t>
  </si>
  <si>
    <t>1. Открыть сайт на мобильном устройстве. 2. Перейти на страницу со статьей. 3. Попробовать прокрутить страницу вниз обычным свайпом. 4. Проверить поведение страницы при прокрутке</t>
  </si>
  <si>
    <t>Страница статьи должна корректно прокручиваться при обычном свайпе, позволяя пользователю просматривать содержимое</t>
  </si>
  <si>
    <t>При попытке прокрутить страницу обычным свайпом она возвращается к предыдущему положению, препятствуя нормальному просмотру статьи</t>
  </si>
  <si>
    <t>Не раскрывается информационная плашка «Поддержите нас в деле просвещения»</t>
  </si>
  <si>
    <t>Пользователь открыл сайт, на странице которого отображается информационная плашка «Поддержите нас в деле просвещения» со стрелкой для раскрытия</t>
  </si>
  <si>
    <t>1. Открыть сайт. 2. Найти плашку «Поддержите нас в деле просвещения». 3. Нажать на плашку или стрелку, указывающую на возможность ее раскрытия. 4. Проверить реакцию интерфейса на нажатие</t>
  </si>
  <si>
    <t>При нажатии на плашку или стрелку должен раскрываться дополнительный блок с информацией о поддержке проекта</t>
  </si>
  <si>
    <t>При нажатии на плашку или стрелку ничего не происходит. Плашка не раскрывается, доступ к дополнительной информации отсутствует</t>
  </si>
  <si>
    <t>Незначительный</t>
  </si>
  <si>
    <t>Возможность выбора одинакового города отправления и прибытия при поиске железнодорожных билетов</t>
  </si>
  <si>
    <t>Пользователь находится на странице поиска билетов на поезд</t>
  </si>
  <si>
    <t>1. Открыть страницу поиска билетов. 2. Выбрать поезд в качестве транспорта. 3. Указать один и тот же город в полях «Откуда» и «Куда». 4. Проверить возможность выбора одинаковых городов и выполнения поиска</t>
  </si>
  <si>
    <t>Система должна запрещать указание одного и того же города отправления и прибытия либо отображать предупреждение о некорректности маршрута</t>
  </si>
  <si>
    <t>Система позволяет указать один и тот же город в качестве пункта отправления и пункта прибытия при поиске железнодорожных билетов</t>
  </si>
  <si>
    <t>Не работает функция расчета расхода топлива в разделе построения маршрута</t>
  </si>
  <si>
    <t>Пользователь открыл раздел построения маршрута на сайте, в котором доступен расчет расхода топлива между начальной и конечной точками</t>
  </si>
  <si>
    <t>1. Открыть раздел построения маршрута. 2. Указать начальную и конечную точки маршрута. 3. Перейти к блоку расчета топлива. 4. Заполнить необходимые поля, если они предусмотрены. 5. Нажать кнопку «Рассчитать». 6. Проверить результат расчета</t>
  </si>
  <si>
    <t>После нажатия кнопки «Рассчитать» система должна выполнить расчет расхода топлива для указанного маршрута и отобразить полученный результат пользователю</t>
  </si>
  <si>
    <t>После нажатия кнопки «Рассчитать» расчет не выполняется, результат не отображается. Пользователь не получает информации о расходе топлива для выбранного маршрута</t>
  </si>
  <si>
    <t>Не работает кнопка удаления выбранной страны в фильтре поиска фильмов</t>
  </si>
  <si>
    <t>Пользователь находится на сайте с каталогом фильмов, в котором доступен фильтр по стране производства</t>
  </si>
  <si>
    <t>1. Открыть сайт с каталогом фильмов. 2. Перейти к фильтру по стране. 3. Выбрать любую страну из списка. 4. Нажать на крестик рядом с выбранной страной, чтобы удалить фильтр</t>
  </si>
  <si>
    <t>При нажатии на крестик выбранная страна должна удаляться из фильтра, а список фильмов должен обновляться в соответствии с оставшимися параметрами поиска</t>
  </si>
  <si>
    <t>Нажатие на крестик не приводит к удалению выбранной страны. Сбросить фильтр без перезагрузки страницы не удается, поэтому пользователю приходится перезагружать сайт</t>
  </si>
  <si>
    <t>Нажатие на крестик не приводит к удалению выбранного  года. Сбросить фильтр без перезагрузки страницы не удается, поэтому пользователю приходится перезагружать сайт</t>
  </si>
  <si>
    <t>При нажатии на крестик выбранный год должна удаляться из фильтра, а список фильмов должен обновляться в соответствии с оставшимися параметрами поиска</t>
  </si>
  <si>
    <t>1. Открыть сайт с каталогом фильмов. 2. Перейти к фильтру по году выпуска. 3. Выбрать любой год из списка. 4. Нажать на крестик рядом с выбранным годом, чтобы удалить фильтр</t>
  </si>
  <si>
    <t>Пользователь находится на сайте с каталогом фильмов, в котором доступен фильтр по году производства</t>
  </si>
  <si>
    <t>Не работает кнопка удаления выбранного года в фильтре поиска фильмов</t>
  </si>
  <si>
    <t>https://disk.yandex.ru/d/prmlsniP8zPGUw</t>
  </si>
  <si>
    <t>Ссылка на файл с багами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</si>
</sst>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2" borderId="0" xfId="0" applyFill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852A-DC38-402B-9D71-70344F6B2DE1}">
  <dimension ref="A1:J11"/>
  <sheetViews>
    <sheetView tabSelected="1" topLeftCell="C1" zoomScale="83" zoomScaleNormal="83" workbookViewId="0">
      <selection activeCell="J3" sqref="J3"/>
    </sheetView>
  </sheetViews>
  <sheetFormatPr defaultColWidth="32" defaultRowHeight="97.8" customHeight="1" x14ac:dyDescent="0.3"/>
  <cols>
    <col min="1" max="1" width="6.44140625" style="1" customWidth="1"/>
    <col min="2" max="2" width="8.44140625" style="1" customWidth="1"/>
    <col min="3" max="3" width="23.21875" style="1" customWidth="1"/>
    <col min="4" max="4" width="28.88671875" style="1" customWidth="1"/>
    <col min="5" max="5" width="39.21875" style="1" customWidth="1"/>
    <col min="6" max="7" width="32" style="1"/>
    <col min="8" max="8" width="28.6640625" style="1" customWidth="1"/>
    <col min="9" max="9" width="18.109375" style="1" customWidth="1"/>
    <col min="10" max="16384" width="32" style="1"/>
  </cols>
  <sheetData>
    <row r="1" spans="1:10" s="3" customFormat="1" ht="32.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68</v>
      </c>
    </row>
    <row r="2" spans="1:10" ht="97.8" customHeight="1" x14ac:dyDescent="0.3">
      <c r="A2" s="1">
        <v>1</v>
      </c>
      <c r="B2" s="1" t="str">
        <f>"001"</f>
        <v>001</v>
      </c>
      <c r="C2" s="1" t="s">
        <v>57</v>
      </c>
      <c r="D2" s="1" t="s">
        <v>58</v>
      </c>
      <c r="E2" s="1" t="s">
        <v>59</v>
      </c>
      <c r="F2" s="1" t="s">
        <v>60</v>
      </c>
      <c r="G2" s="1" t="s">
        <v>61</v>
      </c>
      <c r="H2" s="2" t="s">
        <v>8</v>
      </c>
      <c r="I2" s="1" t="s">
        <v>20</v>
      </c>
      <c r="J2" s="4" t="s">
        <v>67</v>
      </c>
    </row>
    <row r="3" spans="1:10" ht="97.8" customHeight="1" x14ac:dyDescent="0.3">
      <c r="A3" s="1">
        <v>2</v>
      </c>
      <c r="B3" s="1" t="str">
        <f>"002"</f>
        <v>002</v>
      </c>
      <c r="C3" s="1" t="s">
        <v>66</v>
      </c>
      <c r="D3" s="1" t="s">
        <v>65</v>
      </c>
      <c r="E3" s="1" t="s">
        <v>64</v>
      </c>
      <c r="F3" s="1" t="s">
        <v>63</v>
      </c>
      <c r="G3" s="1" t="s">
        <v>62</v>
      </c>
      <c r="H3" s="2" t="s">
        <v>8</v>
      </c>
      <c r="I3" s="1" t="s">
        <v>20</v>
      </c>
    </row>
    <row r="4" spans="1:10" ht="97.8" customHeight="1" x14ac:dyDescent="0.3">
      <c r="A4" s="1">
        <v>3</v>
      </c>
      <c r="B4" s="1" t="str">
        <f>"003"</f>
        <v>003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10</v>
      </c>
      <c r="I4" s="1" t="s">
        <v>20</v>
      </c>
    </row>
    <row r="5" spans="1:10" ht="97.8" customHeight="1" x14ac:dyDescent="0.3">
      <c r="A5" s="1">
        <v>4</v>
      </c>
      <c r="B5" s="1" t="str">
        <f>"004"</f>
        <v>004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10</v>
      </c>
      <c r="I5" s="1" t="s">
        <v>26</v>
      </c>
    </row>
    <row r="6" spans="1:10" ht="97.8" customHeight="1" x14ac:dyDescent="0.3">
      <c r="A6" s="1">
        <v>5</v>
      </c>
      <c r="B6" s="1" t="str">
        <f>"005"</f>
        <v>005</v>
      </c>
      <c r="C6" s="1" t="s">
        <v>27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11</v>
      </c>
      <c r="I6" s="1" t="s">
        <v>20</v>
      </c>
    </row>
    <row r="7" spans="1:10" ht="97.8" customHeight="1" x14ac:dyDescent="0.3">
      <c r="A7" s="1">
        <v>6</v>
      </c>
      <c r="B7" s="1" t="str">
        <f>"006"</f>
        <v>006</v>
      </c>
      <c r="C7" s="1" t="s">
        <v>32</v>
      </c>
      <c r="D7" s="1" t="s">
        <v>28</v>
      </c>
      <c r="E7" s="1" t="s">
        <v>33</v>
      </c>
      <c r="F7" s="1" t="s">
        <v>34</v>
      </c>
      <c r="G7" s="1" t="s">
        <v>35</v>
      </c>
      <c r="H7" s="1" t="s">
        <v>11</v>
      </c>
      <c r="I7" s="1" t="s">
        <v>20</v>
      </c>
    </row>
    <row r="8" spans="1:10" ht="106.2" customHeight="1" x14ac:dyDescent="0.3">
      <c r="A8" s="1">
        <v>7</v>
      </c>
      <c r="B8" s="1" t="str">
        <f>"007"</f>
        <v>007</v>
      </c>
      <c r="C8" s="1" t="s">
        <v>36</v>
      </c>
      <c r="D8" s="1" t="s">
        <v>37</v>
      </c>
      <c r="E8" s="1" t="s">
        <v>38</v>
      </c>
      <c r="F8" s="1" t="s">
        <v>39</v>
      </c>
      <c r="G8" s="1" t="s">
        <v>40</v>
      </c>
      <c r="H8" s="1" t="s">
        <v>12</v>
      </c>
      <c r="I8" s="1" t="s">
        <v>26</v>
      </c>
    </row>
    <row r="9" spans="1:10" ht="106.2" customHeight="1" x14ac:dyDescent="0.3">
      <c r="A9" s="1">
        <v>8</v>
      </c>
      <c r="B9" s="1" t="str">
        <f>"008"</f>
        <v>008</v>
      </c>
      <c r="C9" s="1" t="s">
        <v>41</v>
      </c>
      <c r="D9" s="1" t="s">
        <v>42</v>
      </c>
      <c r="E9" s="1" t="s">
        <v>43</v>
      </c>
      <c r="F9" s="1" t="s">
        <v>44</v>
      </c>
      <c r="G9" s="1" t="s">
        <v>45</v>
      </c>
      <c r="H9" s="1" t="s">
        <v>12</v>
      </c>
      <c r="I9" s="1" t="s">
        <v>46</v>
      </c>
    </row>
    <row r="10" spans="1:10" ht="97.8" customHeight="1" x14ac:dyDescent="0.3">
      <c r="A10" s="1">
        <v>9</v>
      </c>
      <c r="B10" s="1" t="str">
        <f>"009"</f>
        <v>009</v>
      </c>
      <c r="C10" s="1" t="s">
        <v>47</v>
      </c>
      <c r="D10" s="1" t="s">
        <v>48</v>
      </c>
      <c r="E10" s="1" t="s">
        <v>49</v>
      </c>
      <c r="F10" s="1" t="s">
        <v>50</v>
      </c>
      <c r="G10" s="1" t="s">
        <v>51</v>
      </c>
      <c r="H10" s="1" t="s">
        <v>14</v>
      </c>
      <c r="I10" s="1" t="s">
        <v>13</v>
      </c>
    </row>
    <row r="11" spans="1:10" ht="116.4" customHeight="1" x14ac:dyDescent="0.3">
      <c r="A11" s="1">
        <v>10</v>
      </c>
      <c r="B11" s="1" t="str">
        <f>"010"</f>
        <v>010</v>
      </c>
      <c r="C11" s="1" t="s">
        <v>52</v>
      </c>
      <c r="D11" s="1" t="s">
        <v>53</v>
      </c>
      <c r="E11" s="1" t="s">
        <v>54</v>
      </c>
      <c r="F11" s="1" t="s">
        <v>55</v>
      </c>
      <c r="G11" s="1" t="s">
        <v>56</v>
      </c>
      <c r="H11" s="1" t="s">
        <v>14</v>
      </c>
      <c r="I11" s="1" t="s">
        <v>46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Таисия Рубанова</dc:creator>
  <cp:lastModifiedBy>Таисия Рубанова</cp:lastModifiedBy>
  <dcterms:created xsi:type="dcterms:W3CDTF">2026-10-10T07:15:51Z</dcterms:created>
  <dcterms:modified xsi:type="dcterms:W3CDTF">2026-10-10T12:39:38Z</dcterms:modified>
</cp:coreProperties>
</file>